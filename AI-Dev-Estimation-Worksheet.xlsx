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stimator" sheetId="1" state="visible" r:id="rId3"/>
    <sheet name="How to use"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<sst xmlns="http://schemas.openxmlformats.org/spreadsheetml/2006/main" count="71" uniqueCount="71">
  <si>
    <t xml:space="preserve">AI-Assisted Development Estimation Worksheet</t>
  </si>
  <si>
    <t xml:space="preserve">Fill in the YELLOW cells. Everything else calculates automatically. Method: estimate as if no AI, split into buckets, apply AI factor, add back what AI doesn't compress.</t>
  </si>
  <si>
    <t xml:space="preserve">Legend:</t>
  </si>
  <si>
    <t xml:space="preserve">Yellow = you edit</t>
  </si>
  <si>
    <t xml:space="preserve">Green = result</t>
  </si>
  <si>
    <t xml:space="preserve">STEP 1  —  Baseline estimate (as if there were NO AI)</t>
  </si>
  <si>
    <t xml:space="preserve">Your expert gut estimate, in engineer-weeks, ignoring AI entirely. This is your anchor — trust it over any AI-generated number.</t>
  </si>
  <si>
    <t xml:space="preserve">Total baseline effort (engineer-weeks)</t>
  </si>
  <si>
    <t xml:space="preserve">e.g. 2 engineers x 6 weeks = 12</t>
  </si>
  <si>
    <t xml:space="preserve">STEP 2  —  Split the baseline into three work types</t>
  </si>
  <si>
    <t xml:space="preserve">Estimate what SHARE of the baseline effort falls into each bucket. The three shares must add to 100%.</t>
  </si>
  <si>
    <t xml:space="preserve">Work type</t>
  </si>
  <si>
    <t xml:space="preserve">Share of work</t>
  </si>
  <si>
    <t xml:space="preserve">AI speed-up factor</t>
  </si>
  <si>
    <t xml:space="preserve">Baseline eng-wks</t>
  </si>
  <si>
    <t xml:space="preserve">AI-adjusted eng-wks</t>
  </si>
  <si>
    <t xml:space="preserve">What it is</t>
  </si>
  <si>
    <t xml:space="preserve">Mechanical / boilerplate</t>
  </si>
  <si>
    <t xml:space="preserve">Scaffolding, CRUD, wiring content models, styling from clear mockups</t>
  </si>
  <si>
    <t xml:space="preserve">Integration / context-dependent</t>
  </si>
  <si>
    <t xml:space="preserve">Fitting existing code &amp; patterns, handling your stack's quirks, review-heavy</t>
  </si>
  <si>
    <t xml:space="preserve">Novel / ambiguous / judgment</t>
  </si>
  <si>
    <t xml:space="preserve">Unclear specs, undecided design, feasibility unknowns — thinking, not typing</t>
  </si>
  <si>
    <t xml:space="preserve">TOTAL</t>
  </si>
  <si>
    <t xml:space="preserve">STEP 3  —  Add back what AI does NOT compress</t>
  </si>
  <si>
    <t xml:space="preserve">AI speeds up writing code. It does not speed these up — and review often GROWS because more code is produced. Enter as % of the AI-adjusted core effort.</t>
  </si>
  <si>
    <t xml:space="preserve">Add-back</t>
  </si>
  <si>
    <t xml:space="preserve">% of core</t>
  </si>
  <si>
    <t xml:space="preserve">Eng-weeks added</t>
  </si>
  <si>
    <t xml:space="preserve">Why</t>
  </si>
  <si>
    <t xml:space="preserve">Code review buffer</t>
  </si>
  <si>
    <t xml:space="preserve">More AI code = more to review. Review is now the expensive step.</t>
  </si>
  <si>
    <t xml:space="preserve">Scoping / discovery</t>
  </si>
  <si>
    <t xml:space="preserve">Understanding the ask. Fixed cost; AI doesn't shrink it.</t>
  </si>
  <si>
    <t xml:space="preserve">Integration friction / surprises</t>
  </si>
  <si>
    <t xml:space="preserve">Mid-build feasibility issues, existing-code quirks.</t>
  </si>
  <si>
    <t xml:space="preserve">TOTAL add-backs</t>
  </si>
  <si>
    <t xml:space="preserve">STEP 4  —  Effort result</t>
  </si>
  <si>
    <t xml:space="preserve">AI-adjusted core effort (engineer-weeks)</t>
  </si>
  <si>
    <t xml:space="preserve">Add-backs (engineer-weeks)</t>
  </si>
  <si>
    <t xml:space="preserve">TOTAL estimated effort (engineer-weeks)</t>
  </si>
  <si>
    <t xml:space="preserve">Baseline was:</t>
  </si>
  <si>
    <t xml:space="preserve">STEP 5  —  Convert effort to a timeline (effort is NOT duration)</t>
  </si>
  <si>
    <t xml:space="preserve">Calendar time = effort ÷ engineers who can work IN PARALLEL without blocking each other. Get the parallelism from a dependency map, not a guess. The efficiency factor accounts for coordination overhead (2 engineers rarely = 2x).</t>
  </si>
  <si>
    <t xml:space="preserve">Number of engineers</t>
  </si>
  <si>
    <t xml:space="preserve">How many can genuinely work in parallel</t>
  </si>
  <si>
    <t xml:space="preserve">Parallel efficiency</t>
  </si>
  <si>
    <t xml:space="preserve">1 engineer = 100%. 2 = ~85%. 3+ = lower (more coordination).</t>
  </si>
  <si>
    <t xml:space="preserve">Calendar duration (weeks)</t>
  </si>
  <si>
    <t xml:space="preserve">Range to report (±25%)</t>
  </si>
  <si>
    <t xml:space="preserve">Reminder: give stakeholders a RANGE, not a single number. Single numbers get treated as promises.</t>
  </si>
  <si>
    <t xml:space="preserve">How to use this worksheet</t>
  </si>
  <si>
    <t xml:space="preserve">The one rule</t>
  </si>
  <si>
    <t xml:space="preserve">Estimate the work yourself, then apply an AI factor. Never ask an LLM 'how long will this take' — it has no model of your team, your codebase, or your engineers' expertise, so it defaults to a padded, generic, worst-case number and usually ignores headcount entirely. Your gut estimate is the more reliable input.</t>
  </si>
  <si>
    <t xml:space="preserve">The buckets (Step 2) — why they matter</t>
  </si>
  <si>
    <t xml:space="preserve">AI does not speed up all work equally. Splitting the work is the whole point; a single blended multiplier is what makes estimates wrong.</t>
  </si>
  <si>
    <t xml:space="preserve">• Mechanical / boilerplate: ~3-5x faster. Scaffolding, CRUD, wiring, styling from clear mockups. AI genuinely shines here.</t>
  </si>
  <si>
    <t xml:space="preserve">• Integration / context-dependent: ~1.5-2x. Fitting existing code, matching patterns, handling stack quirks. You spend real time reviewing/correcting.</t>
  </si>
  <si>
    <t xml:space="preserve">• Novel / ambiguous / judgment: ~1x (no speed-up, sometimes slower). Unclear specs, undecided design, feasibility unknowns. The bottleneck is thinking, not typing.</t>
  </si>
  <si>
    <t xml:space="preserve">Adjust the factors to your own observed data over time. The defaults are starting points, not laws.</t>
  </si>
  <si>
    <t xml:space="preserve">The add-backs (Step 3) — the part everyone forgets</t>
  </si>
  <si>
    <t xml:space="preserve">AI compresses writing. It does not compress these, and review often GROWS because more code gets produced faster:</t>
  </si>
  <si>
    <t xml:space="preserve">• Review buffer — your own 'review debt' risk. More AI code = more to review, and review is now the expensive step.</t>
  </si>
  <si>
    <t xml:space="preserve">• Scoping / discovery — the 1-2 days of understanding the ask. Fixed cost; AI doesn't shrink it.</t>
  </si>
  <si>
    <t xml:space="preserve">• Integration friction — mid-build feasibility surprises, existing-code quirks. Bigger for more novel work.</t>
  </si>
  <si>
    <t xml:space="preserve">Effort vs duration (Step 5) — fixes the 'headcount missing' problem</t>
  </si>
  <si>
    <t xml:space="preserve">Engineer-weeks is EFFORT. Calendar time is effort divided by how many engineers can work in parallel WITHOUT blocking each other. Two engineers on 6 engineer-weeks is not automatically 3 calendar weeks — only if the work splits cleanly. Get parallelism from a dependency map (ask AI to help build that), then apply an efficiency factor because coordination overhead means 2 people rarely equal 2x.</t>
  </si>
  <si>
    <t xml:space="preserve">Where AI genuinely helps in estimation</t>
  </si>
  <si>
    <t xml:space="preserve">Not for the number — for DECOMPOSITION. Feed it the mockups/spec and ask it to: (1) break the work into distinct tasks, (2) map which tasks block which and what can run in parallel, (3) flag what's likely more complex than it looks. That output is what you estimate against yourself. AI does the mechanical decomposition; you supply the judgment.</t>
  </si>
  <si>
    <t xml:space="preserve">Worked example (the defaults in this sheet)</t>
  </si>
  <si>
    <t xml:space="preserve">Baseline: 12 engineer-weeks (2 experts x 6 weeks). Split 45% mechanical / 40% integration / 15% novel. After AI factors, core drops to ~5 engineer-weeks. Add ~50% back for review + scoping + friction, landing near 7.5 engineer-weeks. Across 2 engineers at 85% efficiency, that's roughly 4-5 calendar weeks — reported as a range, not a promise. Note the honest result: a real ~1.6x calendar speed-up, not the fantasy '3 days' a demo might suggest.</t>
  </si>
</sst>
</file>

<file path=xl/styles.xml><?xml version="1.0" encoding="utf-8"?>
<styleSheet xmlns="http://schemas.openxmlformats.org/spreadsheetml/2006/main">
  <numFmts count="4">
    <numFmt numFmtId="164" formatCode="General"/>
    <numFmt numFmtId="165" formatCode="0%"/>
    <numFmt numFmtId="166" formatCode="0.0\x"/>
    <numFmt numFmtId="167" formatCode="0.0"/>
  </numFmts>
  <fonts count="13">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i val="true"/>
      <sz val="9"/>
      <color rgb="FF666666"/>
      <name val="Arial"/>
      <family val="0"/>
      <charset val="1"/>
    </font>
    <font>
      <b val="true"/>
      <sz val="10"/>
      <name val="Arial"/>
      <family val="0"/>
      <charset val="1"/>
    </font>
    <font>
      <sz val="10"/>
      <name val="Arial"/>
      <family val="0"/>
      <charset val="1"/>
    </font>
    <font>
      <b val="true"/>
      <sz val="11"/>
      <color rgb="FFFFFFFF"/>
      <name val="Arial"/>
      <family val="0"/>
      <charset val="1"/>
    </font>
    <font>
      <sz val="10"/>
      <color rgb="FF0000FF"/>
      <name val="Arial"/>
      <family val="0"/>
      <charset val="1"/>
    </font>
    <font>
      <b val="true"/>
      <sz val="12"/>
      <color rgb="FF1F5C2E"/>
      <name val="Arial"/>
      <family val="0"/>
      <charset val="1"/>
    </font>
    <font>
      <b val="true"/>
      <sz val="14"/>
      <name val="Arial"/>
      <family val="0"/>
      <charset val="1"/>
    </font>
    <font>
      <b val="true"/>
      <sz val="11"/>
      <color rgb="FF2F5496"/>
      <name val="Arial"/>
      <family val="0"/>
      <charset val="1"/>
    </font>
  </fonts>
  <fills count="7">
    <fill>
      <patternFill patternType="none"/>
    </fill>
    <fill>
      <patternFill patternType="gray125"/>
    </fill>
    <fill>
      <patternFill patternType="solid">
        <fgColor rgb="FF2F5496"/>
        <bgColor rgb="FF0066CC"/>
      </patternFill>
    </fill>
    <fill>
      <patternFill patternType="solid">
        <fgColor rgb="FFFFF2CC"/>
        <bgColor rgb="FFF2F2F2"/>
      </patternFill>
    </fill>
    <fill>
      <patternFill patternType="solid">
        <fgColor rgb="FFE2EFDA"/>
        <bgColor rgb="FFF2F2F2"/>
      </patternFill>
    </fill>
    <fill>
      <patternFill patternType="solid">
        <fgColor rgb="FF8EAADB"/>
        <bgColor rgb="FF969696"/>
      </patternFill>
    </fill>
    <fill>
      <patternFill patternType="solid">
        <fgColor rgb="FFF2F2F2"/>
        <bgColor rgb="FFE2EFDA"/>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true" applyAlignment="true" applyProtection="false">
      <alignment horizontal="left" vertical="center" textRotation="0" wrapText="true" indent="0" shrinkToFit="false"/>
      <protection locked="true" hidden="false"/>
    </xf>
    <xf numFmtId="164" fontId="6" fillId="0" borderId="0" xfId="0" applyFont="true" applyBorder="false" applyAlignment="true" applyProtection="false">
      <alignment horizontal="left" vertical="center" textRotation="0" wrapText="tru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4" fontId="7" fillId="4" borderId="1" xfId="0" applyFont="true" applyBorder="true" applyAlignment="true" applyProtection="false">
      <alignment horizontal="center" vertical="center" textRotation="0" wrapText="true" indent="0" shrinkToFit="false"/>
      <protection locked="true" hidden="false"/>
    </xf>
    <xf numFmtId="164" fontId="8" fillId="2" borderId="2" xfId="0" applyFont="true" applyBorder="true" applyAlignment="true" applyProtection="false">
      <alignment horizontal="left" vertical="center" textRotation="0" wrapText="true" indent="0" shrinkToFit="false"/>
      <protection locked="true" hidden="false"/>
    </xf>
    <xf numFmtId="164" fontId="5" fillId="0" borderId="1" xfId="0" applyFont="true" applyBorder="true" applyAlignment="true" applyProtection="false">
      <alignment horizontal="left" vertical="center" textRotation="0" wrapText="true" indent="0" shrinkToFit="false"/>
      <protection locked="true" hidden="false"/>
    </xf>
    <xf numFmtId="164" fontId="6" fillId="0" borderId="1" xfId="0" applyFont="true" applyBorder="true" applyAlignment="true" applyProtection="false">
      <alignment horizontal="left" vertical="center" textRotation="0" wrapText="tru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4" fontId="8" fillId="5" borderId="1" xfId="0" applyFont="true" applyBorder="true" applyAlignment="true" applyProtection="false">
      <alignment horizontal="center" vertical="center" textRotation="0" wrapText="true" indent="0" shrinkToFit="false"/>
      <protection locked="true" hidden="false"/>
    </xf>
    <xf numFmtId="164" fontId="6" fillId="6" borderId="1" xfId="0" applyFont="true" applyBorder="true" applyAlignment="true" applyProtection="false">
      <alignment horizontal="left" vertical="center" textRotation="0" wrapText="true" indent="0" shrinkToFit="false"/>
      <protection locked="true" hidden="false"/>
    </xf>
    <xf numFmtId="165" fontId="9" fillId="3" borderId="1" xfId="0" applyFont="true" applyBorder="true" applyAlignment="true" applyProtection="false">
      <alignment horizontal="center" vertical="center" textRotation="0" wrapText="true" indent="0" shrinkToFit="false"/>
      <protection locked="true" hidden="false"/>
    </xf>
    <xf numFmtId="166" fontId="9" fillId="3" borderId="1" xfId="0" applyFont="true" applyBorder="true" applyAlignment="true" applyProtection="false">
      <alignment horizontal="center" vertical="center" textRotation="0" wrapText="true" indent="0" shrinkToFit="false"/>
      <protection locked="true" hidden="false"/>
    </xf>
    <xf numFmtId="167" fontId="7" fillId="0" borderId="1" xfId="0" applyFont="true" applyBorder="true" applyAlignment="true" applyProtection="false">
      <alignment horizontal="center" vertical="center" textRotation="0" wrapText="true" indent="0" shrinkToFit="false"/>
      <protection locked="true" hidden="false"/>
    </xf>
    <xf numFmtId="167" fontId="6" fillId="4" borderId="1" xfId="0" applyFont="true" applyBorder="true" applyAlignment="true" applyProtection="false">
      <alignment horizontal="center" vertical="center" textRotation="0" wrapText="true" indent="0" shrinkToFit="false"/>
      <protection locked="true" hidden="false"/>
    </xf>
    <xf numFmtId="164" fontId="5" fillId="6" borderId="1" xfId="0" applyFont="true" applyBorder="true" applyAlignment="true" applyProtection="false">
      <alignment horizontal="left" vertical="center" textRotation="0" wrapText="true" indent="0" shrinkToFit="false"/>
      <protection locked="true" hidden="false"/>
    </xf>
    <xf numFmtId="164" fontId="6" fillId="5" borderId="1" xfId="0" applyFont="true" applyBorder="true" applyAlignment="true" applyProtection="false">
      <alignment horizontal="left" vertical="center" textRotation="0" wrapText="true" indent="0" shrinkToFit="false"/>
      <protection locked="true" hidden="false"/>
    </xf>
    <xf numFmtId="165" fontId="6" fillId="5" borderId="1" xfId="0" applyFont="true" applyBorder="true" applyAlignment="true" applyProtection="false">
      <alignment horizontal="center" vertical="center" textRotation="0" wrapText="true" indent="0" shrinkToFit="false"/>
      <protection locked="true" hidden="false"/>
    </xf>
    <xf numFmtId="164" fontId="6" fillId="5" borderId="1" xfId="0" applyFont="true" applyBorder="true" applyAlignment="true" applyProtection="false">
      <alignment horizontal="center" vertical="center" textRotation="0" wrapText="true" indent="0" shrinkToFit="false"/>
      <protection locked="true" hidden="false"/>
    </xf>
    <xf numFmtId="167" fontId="6" fillId="5" borderId="1" xfId="0" applyFont="true" applyBorder="true" applyAlignment="true" applyProtection="false">
      <alignment horizontal="center" vertical="center" textRotation="0" wrapText="true" indent="0" shrinkToFit="false"/>
      <protection locked="true" hidden="false"/>
    </xf>
    <xf numFmtId="164" fontId="6" fillId="4" borderId="1" xfId="0" applyFont="true" applyBorder="true" applyAlignment="true" applyProtection="false">
      <alignment horizontal="left" vertical="center" textRotation="0" wrapText="true" indent="0" shrinkToFit="false"/>
      <protection locked="true" hidden="false"/>
    </xf>
    <xf numFmtId="167" fontId="10" fillId="4" borderId="1" xfId="0" applyFont="true" applyBorder="true" applyAlignment="true" applyProtection="false">
      <alignment horizontal="center" vertical="center" textRotation="0" wrapText="true" indent="0" shrinkToFit="false"/>
      <protection locked="true" hidden="false"/>
    </xf>
    <xf numFmtId="167" fontId="5" fillId="0" borderId="1" xfId="0" applyFont="true" applyBorder="true" applyAlignment="true" applyProtection="false">
      <alignment horizontal="center" vertical="center"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left" vertical="top" textRotation="0" wrapText="true" indent="0" shrinkToFit="false"/>
      <protection locked="true" hidden="false"/>
    </xf>
    <xf numFmtId="164" fontId="7" fillId="0" borderId="0" xfId="0" applyFont="true" applyBorder="fals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8EAADB"/>
      <rgbColor rgb="FF993366"/>
      <rgbColor rgb="FFFFF2CC"/>
      <rgbColor rgb="FFF2F2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2F5496"/>
      <rgbColor rgb="FF1F5C2E"/>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3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4"/>
    <col collapsed="false" customWidth="true" hidden="false" outlineLevel="0" max="5" min="3" style="0" width="16"/>
    <col collapsed="false" customWidth="true" hidden="false" outlineLevel="0" max="6" min="6" style="0" width="18"/>
    <col collapsed="false" customWidth="true" hidden="false" outlineLevel="0" max="7" min="7" style="0" width="22"/>
  </cols>
  <sheetData>
    <row r="1" customFormat="false" ht="25.5" hidden="false" customHeight="true" outlineLevel="0" collapsed="false">
      <c r="B1" s="1" t="s">
        <v>0</v>
      </c>
      <c r="C1" s="1"/>
      <c r="D1" s="1"/>
      <c r="E1" s="1"/>
      <c r="F1" s="1"/>
      <c r="G1" s="1"/>
    </row>
    <row r="2" customFormat="false" ht="27.75" hidden="false" customHeight="true" outlineLevel="0" collapsed="false">
      <c r="B2" s="2" t="s">
        <v>1</v>
      </c>
      <c r="C2" s="2"/>
      <c r="D2" s="2"/>
      <c r="E2" s="2"/>
      <c r="F2" s="2"/>
      <c r="G2" s="2"/>
    </row>
    <row r="3" customFormat="false" ht="15" hidden="false" customHeight="false" outlineLevel="0" collapsed="false">
      <c r="B3" s="3" t="s">
        <v>2</v>
      </c>
      <c r="C3" s="4" t="s">
        <v>3</v>
      </c>
      <c r="D3" s="5" t="s">
        <v>4</v>
      </c>
    </row>
    <row r="5" customFormat="false" ht="15" hidden="false" customHeight="true" outlineLevel="0" collapsed="false">
      <c r="B5" s="6" t="s">
        <v>5</v>
      </c>
      <c r="C5" s="6"/>
      <c r="D5" s="6"/>
      <c r="E5" s="6"/>
      <c r="F5" s="6"/>
      <c r="G5" s="6"/>
    </row>
    <row r="6" customFormat="false" ht="15" hidden="false" customHeight="true" outlineLevel="0" collapsed="false">
      <c r="B6" s="7" t="s">
        <v>6</v>
      </c>
      <c r="C6" s="7"/>
      <c r="D6" s="7"/>
      <c r="E6" s="7"/>
      <c r="F6" s="7"/>
      <c r="G6" s="7"/>
    </row>
    <row r="7" customFormat="false" ht="15" hidden="false" customHeight="true" outlineLevel="0" collapsed="false">
      <c r="B7" s="8" t="s">
        <v>7</v>
      </c>
      <c r="C7" s="9" t="n">
        <v>12</v>
      </c>
      <c r="D7" s="7" t="s">
        <v>8</v>
      </c>
      <c r="E7" s="7"/>
      <c r="F7" s="7"/>
      <c r="G7" s="7"/>
    </row>
    <row r="9" customFormat="false" ht="15" hidden="false" customHeight="true" outlineLevel="0" collapsed="false">
      <c r="B9" s="6" t="s">
        <v>9</v>
      </c>
      <c r="C9" s="6"/>
      <c r="D9" s="6"/>
      <c r="E9" s="6"/>
      <c r="F9" s="6"/>
      <c r="G9" s="6"/>
    </row>
    <row r="10" customFormat="false" ht="15" hidden="false" customHeight="true" outlineLevel="0" collapsed="false">
      <c r="B10" s="7" t="s">
        <v>10</v>
      </c>
      <c r="C10" s="7"/>
      <c r="D10" s="7"/>
      <c r="E10" s="7"/>
      <c r="F10" s="7"/>
      <c r="G10" s="7"/>
    </row>
    <row r="11" customFormat="false" ht="26.85" hidden="false" customHeight="false" outlineLevel="0" collapsed="false">
      <c r="B11" s="10" t="s">
        <v>11</v>
      </c>
      <c r="C11" s="10" t="s">
        <v>12</v>
      </c>
      <c r="D11" s="10" t="s">
        <v>13</v>
      </c>
      <c r="E11" s="10" t="s">
        <v>14</v>
      </c>
      <c r="F11" s="10" t="s">
        <v>15</v>
      </c>
      <c r="G11" s="10" t="s">
        <v>16</v>
      </c>
    </row>
    <row r="12" customFormat="false" ht="32.8" hidden="false" customHeight="false" outlineLevel="0" collapsed="false">
      <c r="B12" s="11" t="s">
        <v>17</v>
      </c>
      <c r="C12" s="12" t="n">
        <v>0.45</v>
      </c>
      <c r="D12" s="13" t="n">
        <v>4</v>
      </c>
      <c r="E12" s="14" t="n">
        <f aca="false">C7*C12</f>
        <v>5.4</v>
      </c>
      <c r="F12" s="15" t="n">
        <f aca="false">E12/D12</f>
        <v>1.35</v>
      </c>
      <c r="G12" s="16" t="s">
        <v>18</v>
      </c>
    </row>
    <row r="13" customFormat="false" ht="32.8" hidden="false" customHeight="false" outlineLevel="0" collapsed="false">
      <c r="B13" s="11" t="s">
        <v>19</v>
      </c>
      <c r="C13" s="12" t="n">
        <v>0.4</v>
      </c>
      <c r="D13" s="13" t="n">
        <v>1.75</v>
      </c>
      <c r="E13" s="14" t="n">
        <f aca="false">C7*C13</f>
        <v>4.8</v>
      </c>
      <c r="F13" s="15" t="n">
        <f aca="false">E13/D13</f>
        <v>2.74285714285714</v>
      </c>
      <c r="G13" s="16" t="s">
        <v>20</v>
      </c>
    </row>
    <row r="14" customFormat="false" ht="32.8" hidden="false" customHeight="false" outlineLevel="0" collapsed="false">
      <c r="B14" s="11" t="s">
        <v>21</v>
      </c>
      <c r="C14" s="12" t="n">
        <v>0.15</v>
      </c>
      <c r="D14" s="13" t="n">
        <v>1</v>
      </c>
      <c r="E14" s="14" t="n">
        <f aca="false">C7*C14</f>
        <v>1.8</v>
      </c>
      <c r="F14" s="15" t="n">
        <f aca="false">E14/D14</f>
        <v>1.8</v>
      </c>
      <c r="G14" s="16" t="s">
        <v>22</v>
      </c>
    </row>
    <row r="15" customFormat="false" ht="15" hidden="false" customHeight="false" outlineLevel="0" collapsed="false">
      <c r="B15" s="17" t="s">
        <v>23</v>
      </c>
      <c r="C15" s="18" t="n">
        <f aca="false">SUM(C12:C14)</f>
        <v>1</v>
      </c>
      <c r="D15" s="19"/>
      <c r="E15" s="20" t="n">
        <f aca="false">SUM(E12:E14)</f>
        <v>12</v>
      </c>
      <c r="F15" s="20" t="n">
        <f aca="false">SUM(F12:F14)</f>
        <v>5.89285714285714</v>
      </c>
      <c r="G15" s="19"/>
    </row>
    <row r="16" customFormat="false" ht="15" hidden="false" customHeight="false" outlineLevel="0" collapsed="false">
      <c r="B16" s="7" t="str">
        <f aca="false">IF(ABS(C15-1)&lt;0.001,"OK: shares add to 100%","FIX: shares must add to 100%")</f>
        <v>OK: shares add to 100%</v>
      </c>
      <c r="C16" s="7"/>
      <c r="D16" s="7"/>
      <c r="E16" s="7"/>
      <c r="F16" s="7"/>
      <c r="G16" s="7"/>
    </row>
    <row r="18" customFormat="false" ht="15" hidden="false" customHeight="true" outlineLevel="0" collapsed="false">
      <c r="B18" s="6" t="s">
        <v>24</v>
      </c>
      <c r="C18" s="6"/>
      <c r="D18" s="6"/>
      <c r="E18" s="6"/>
      <c r="F18" s="6"/>
      <c r="G18" s="6"/>
    </row>
    <row r="19" customFormat="false" ht="15" hidden="false" customHeight="true" outlineLevel="0" collapsed="false">
      <c r="B19" s="7" t="s">
        <v>25</v>
      </c>
      <c r="C19" s="7"/>
      <c r="D19" s="7"/>
      <c r="E19" s="7"/>
      <c r="F19" s="7"/>
      <c r="G19" s="7"/>
    </row>
    <row r="20" customFormat="false" ht="26.85" hidden="false" customHeight="true" outlineLevel="0" collapsed="false">
      <c r="B20" s="10" t="s">
        <v>26</v>
      </c>
      <c r="C20" s="10" t="s">
        <v>27</v>
      </c>
      <c r="D20" s="10" t="s">
        <v>28</v>
      </c>
      <c r="E20" s="10" t="s">
        <v>29</v>
      </c>
      <c r="F20" s="10"/>
      <c r="G20" s="10"/>
    </row>
    <row r="21" customFormat="false" ht="15" hidden="false" customHeight="true" outlineLevel="0" collapsed="false">
      <c r="B21" s="11" t="s">
        <v>30</v>
      </c>
      <c r="C21" s="12" t="n">
        <v>0.25</v>
      </c>
      <c r="D21" s="14" t="n">
        <f aca="false">F15*C21</f>
        <v>1.47321428571429</v>
      </c>
      <c r="E21" s="16" t="s">
        <v>31</v>
      </c>
      <c r="F21" s="16"/>
      <c r="G21" s="16"/>
    </row>
    <row r="22" customFormat="false" ht="15" hidden="false" customHeight="true" outlineLevel="0" collapsed="false">
      <c r="B22" s="11" t="s">
        <v>32</v>
      </c>
      <c r="C22" s="12" t="n">
        <v>0.1</v>
      </c>
      <c r="D22" s="14" t="n">
        <f aca="false">F15*C22</f>
        <v>0.589285714285714</v>
      </c>
      <c r="E22" s="16" t="s">
        <v>33</v>
      </c>
      <c r="F22" s="16"/>
      <c r="G22" s="16"/>
    </row>
    <row r="23" customFormat="false" ht="15" hidden="false" customHeight="true" outlineLevel="0" collapsed="false">
      <c r="B23" s="11" t="s">
        <v>34</v>
      </c>
      <c r="C23" s="12" t="n">
        <v>0.15</v>
      </c>
      <c r="D23" s="14" t="n">
        <f aca="false">F15*C23</f>
        <v>0.883928571428572</v>
      </c>
      <c r="E23" s="16" t="s">
        <v>35</v>
      </c>
      <c r="F23" s="16"/>
      <c r="G23" s="16"/>
    </row>
    <row r="24" customFormat="false" ht="15" hidden="false" customHeight="false" outlineLevel="0" collapsed="false">
      <c r="B24" s="17" t="s">
        <v>36</v>
      </c>
      <c r="C24" s="19"/>
      <c r="D24" s="20" t="n">
        <f aca="false">SUM(D21:D23)</f>
        <v>2.94642857142857</v>
      </c>
      <c r="E24" s="19"/>
      <c r="F24" s="19"/>
      <c r="G24" s="19"/>
    </row>
    <row r="26" customFormat="false" ht="15" hidden="false" customHeight="true" outlineLevel="0" collapsed="false">
      <c r="B26" s="6" t="s">
        <v>37</v>
      </c>
      <c r="C26" s="6"/>
      <c r="D26" s="6"/>
      <c r="E26" s="6"/>
      <c r="F26" s="6"/>
      <c r="G26" s="6"/>
    </row>
    <row r="27" customFormat="false" ht="23.85" hidden="false" customHeight="false" outlineLevel="0" collapsed="false">
      <c r="B27" s="8" t="s">
        <v>38</v>
      </c>
      <c r="C27" s="15" t="n">
        <f aca="false">F15</f>
        <v>5.89285714285714</v>
      </c>
    </row>
    <row r="28" customFormat="false" ht="15" hidden="false" customHeight="false" outlineLevel="0" collapsed="false">
      <c r="B28" s="8" t="s">
        <v>39</v>
      </c>
      <c r="C28" s="15" t="n">
        <f aca="false">D24</f>
        <v>2.94642857142857</v>
      </c>
    </row>
    <row r="29" customFormat="false" ht="23.85" hidden="false" customHeight="false" outlineLevel="0" collapsed="false">
      <c r="B29" s="21" t="s">
        <v>40</v>
      </c>
      <c r="C29" s="22" t="n">
        <f aca="false">F15+D24</f>
        <v>8.83928571428572</v>
      </c>
    </row>
    <row r="30" customFormat="false" ht="15" hidden="false" customHeight="false" outlineLevel="0" collapsed="false">
      <c r="B30" s="7" t="s">
        <v>41</v>
      </c>
      <c r="C30" s="23" t="n">
        <f aca="false">C7</f>
        <v>12</v>
      </c>
      <c r="D30" s="7" t="str">
        <f aca="false">CONCATENATE("Implied speed-up: ",TEXT(C7/C29,"0.0"),"x vs baseline")</f>
        <v>Implied speed-up: 1.4x vs baseline</v>
      </c>
      <c r="E30" s="7"/>
      <c r="F30" s="7"/>
      <c r="G30" s="7"/>
    </row>
    <row r="32" customFormat="false" ht="15" hidden="false" customHeight="true" outlineLevel="0" collapsed="false">
      <c r="B32" s="6" t="s">
        <v>42</v>
      </c>
      <c r="C32" s="6"/>
      <c r="D32" s="6"/>
      <c r="E32" s="6"/>
      <c r="F32" s="6"/>
      <c r="G32" s="6"/>
    </row>
    <row r="33" customFormat="false" ht="39.75" hidden="false" customHeight="true" outlineLevel="0" collapsed="false">
      <c r="B33" s="7" t="s">
        <v>43</v>
      </c>
      <c r="C33" s="7"/>
      <c r="D33" s="7"/>
      <c r="E33" s="7"/>
      <c r="F33" s="7"/>
      <c r="G33" s="7"/>
    </row>
    <row r="34" customFormat="false" ht="15" hidden="false" customHeight="true" outlineLevel="0" collapsed="false">
      <c r="B34" s="8" t="s">
        <v>44</v>
      </c>
      <c r="C34" s="9" t="n">
        <v>2</v>
      </c>
      <c r="D34" s="7" t="s">
        <v>45</v>
      </c>
      <c r="E34" s="7"/>
      <c r="F34" s="7"/>
      <c r="G34" s="7"/>
    </row>
    <row r="35" customFormat="false" ht="15" hidden="false" customHeight="true" outlineLevel="0" collapsed="false">
      <c r="B35" s="8" t="s">
        <v>46</v>
      </c>
      <c r="C35" s="12" t="n">
        <v>0.85</v>
      </c>
      <c r="D35" s="7" t="s">
        <v>47</v>
      </c>
      <c r="E35" s="7"/>
      <c r="F35" s="7"/>
      <c r="G35" s="7"/>
    </row>
    <row r="36" customFormat="false" ht="15" hidden="false" customHeight="false" outlineLevel="0" collapsed="false">
      <c r="B36" s="21" t="s">
        <v>48</v>
      </c>
      <c r="C36" s="22" t="n">
        <f aca="false">C29/(C34*C35)</f>
        <v>5.19957983193277</v>
      </c>
    </row>
    <row r="37" customFormat="false" ht="15" hidden="false" customHeight="false" outlineLevel="0" collapsed="false">
      <c r="B37" s="8" t="s">
        <v>49</v>
      </c>
      <c r="C37" s="21" t="str">
        <f aca="false">CONCATENATE(TEXT(C29/(C34*C35)*0.75,"0.0")," to ",TEXT(C29/(C34*C35)*1.25,"0.0")," weeks")</f>
        <v>3.9 to 6.5 weeks</v>
      </c>
      <c r="D37" s="21"/>
      <c r="E37" s="21"/>
      <c r="F37" s="21"/>
      <c r="G37" s="21"/>
    </row>
    <row r="39" customFormat="false" ht="15" hidden="false" customHeight="true" outlineLevel="0" collapsed="false">
      <c r="B39" s="7" t="s">
        <v>50</v>
      </c>
      <c r="C39" s="7"/>
      <c r="D39" s="7"/>
      <c r="E39" s="7"/>
      <c r="F39" s="7"/>
      <c r="G39" s="7"/>
    </row>
  </sheetData>
  <mergeCells count="23">
    <mergeCell ref="B1:G1"/>
    <mergeCell ref="B2:G2"/>
    <mergeCell ref="B5:G5"/>
    <mergeCell ref="B6:G6"/>
    <mergeCell ref="D7:G7"/>
    <mergeCell ref="B9:G9"/>
    <mergeCell ref="B10:G10"/>
    <mergeCell ref="B16:G16"/>
    <mergeCell ref="B18:G18"/>
    <mergeCell ref="B19:G19"/>
    <mergeCell ref="E20:G20"/>
    <mergeCell ref="E21:G21"/>
    <mergeCell ref="E22:G22"/>
    <mergeCell ref="E23:G23"/>
    <mergeCell ref="E24:G24"/>
    <mergeCell ref="B26:G26"/>
    <mergeCell ref="D30:G30"/>
    <mergeCell ref="B32:G32"/>
    <mergeCell ref="B33:G33"/>
    <mergeCell ref="D34:G34"/>
    <mergeCell ref="D35:G35"/>
    <mergeCell ref="C37:G37"/>
    <mergeCell ref="B39:G3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B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00"/>
  </cols>
  <sheetData>
    <row r="1" customFormat="false" ht="17.35" hidden="false" customHeight="false" outlineLevel="0" collapsed="false">
      <c r="B1" s="24" t="s">
        <v>51</v>
      </c>
    </row>
    <row r="2" customFormat="false" ht="15" hidden="false" customHeight="false" outlineLevel="0" collapsed="false">
      <c r="B2" s="25" t="s">
        <v>52</v>
      </c>
    </row>
    <row r="3" customFormat="false" ht="60" hidden="false" customHeight="true" outlineLevel="0" collapsed="false">
      <c r="B3" s="26" t="s">
        <v>53</v>
      </c>
    </row>
    <row r="4" customFormat="false" ht="15" hidden="false" customHeight="false" outlineLevel="0" collapsed="false">
      <c r="B4" s="26"/>
    </row>
    <row r="5" customFormat="false" ht="15" hidden="false" customHeight="false" outlineLevel="0" collapsed="false">
      <c r="B5" s="25" t="s">
        <v>54</v>
      </c>
    </row>
    <row r="6" customFormat="false" ht="30" hidden="false" customHeight="true" outlineLevel="0" collapsed="false">
      <c r="B6" s="26" t="s">
        <v>55</v>
      </c>
    </row>
    <row r="7" customFormat="false" ht="30" hidden="false" customHeight="true" outlineLevel="0" collapsed="false">
      <c r="B7" s="26" t="s">
        <v>56</v>
      </c>
    </row>
    <row r="8" customFormat="false" ht="30" hidden="false" customHeight="true" outlineLevel="0" collapsed="false">
      <c r="B8" s="26" t="s">
        <v>57</v>
      </c>
    </row>
    <row r="9" customFormat="false" ht="30" hidden="false" customHeight="true" outlineLevel="0" collapsed="false">
      <c r="B9" s="26" t="s">
        <v>58</v>
      </c>
    </row>
    <row r="10" customFormat="false" ht="30" hidden="false" customHeight="true" outlineLevel="0" collapsed="false">
      <c r="B10" s="26" t="s">
        <v>59</v>
      </c>
    </row>
    <row r="11" customFormat="false" ht="15" hidden="false" customHeight="false" outlineLevel="0" collapsed="false">
      <c r="B11" s="26"/>
    </row>
    <row r="12" customFormat="false" ht="15" hidden="false" customHeight="false" outlineLevel="0" collapsed="false">
      <c r="B12" s="25" t="s">
        <v>60</v>
      </c>
    </row>
    <row r="13" customFormat="false" ht="30" hidden="false" customHeight="true" outlineLevel="0" collapsed="false">
      <c r="B13" s="26" t="s">
        <v>61</v>
      </c>
    </row>
    <row r="14" customFormat="false" ht="30" hidden="false" customHeight="true" outlineLevel="0" collapsed="false">
      <c r="B14" s="26" t="s">
        <v>62</v>
      </c>
    </row>
    <row r="15" customFormat="false" ht="30" hidden="false" customHeight="true" outlineLevel="0" collapsed="false">
      <c r="B15" s="26" t="s">
        <v>63</v>
      </c>
    </row>
    <row r="16" customFormat="false" ht="30" hidden="false" customHeight="true" outlineLevel="0" collapsed="false">
      <c r="B16" s="26" t="s">
        <v>64</v>
      </c>
    </row>
    <row r="17" customFormat="false" ht="15" hidden="false" customHeight="false" outlineLevel="0" collapsed="false">
      <c r="B17" s="26"/>
    </row>
    <row r="18" customFormat="false" ht="15" hidden="false" customHeight="false" outlineLevel="0" collapsed="false">
      <c r="B18" s="25" t="s">
        <v>65</v>
      </c>
    </row>
    <row r="19" customFormat="false" ht="75" hidden="false" customHeight="true" outlineLevel="0" collapsed="false">
      <c r="B19" s="26" t="s">
        <v>66</v>
      </c>
    </row>
    <row r="20" customFormat="false" ht="15" hidden="false" customHeight="false" outlineLevel="0" collapsed="false">
      <c r="B20" s="26"/>
    </row>
    <row r="21" customFormat="false" ht="15" hidden="false" customHeight="false" outlineLevel="0" collapsed="false">
      <c r="B21" s="25" t="s">
        <v>67</v>
      </c>
    </row>
    <row r="22" customFormat="false" ht="60" hidden="false" customHeight="true" outlineLevel="0" collapsed="false">
      <c r="B22" s="26" t="s">
        <v>68</v>
      </c>
    </row>
    <row r="23" customFormat="false" ht="15" hidden="false" customHeight="false" outlineLevel="0" collapsed="false">
      <c r="B23" s="26"/>
    </row>
    <row r="24" customFormat="false" ht="15" hidden="false" customHeight="false" outlineLevel="0" collapsed="false">
      <c r="B24" s="25" t="s">
        <v>69</v>
      </c>
    </row>
    <row r="25" customFormat="false" ht="75" hidden="false" customHeight="true" outlineLevel="0" collapsed="false">
      <c r="B25" s="26" t="s">
        <v>70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2026-07-13T16:28:29Z</dcterms:created>
  <dc:creator>openpyxl</dc:creator>
  <dc:description/>
  <dc:language>en-US</dc:language>
  <cp:lastModifiedBy/>
  <dcterms:modified xsi:type="dcterms:W3CDTF">2026-07-13T16:28:29Z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